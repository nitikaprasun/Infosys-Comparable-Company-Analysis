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s" sheetId="2" state="visible" r:id="rId2"/>
    <sheet name="Operating Metrics" sheetId="3" state="visible" r:id="rId3"/>
    <sheet name="Implied Valuation" sheetId="4" state="visible" r:id="rId4"/>
    <sheet name="Source Dat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#,##0;(#,##0);&quot;-&quot;"/>
    <numFmt numFmtId="166" formatCode="0.0&quot;x&quot;"/>
    <numFmt numFmtId="167" formatCode="0.0%;(0.0%);&quot;-&quot;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alibri"/>
      <color rgb="000000FF"/>
      <sz val="10"/>
    </font>
    <font>
      <name val="Calibri"/>
      <color rgb="00006100"/>
      <sz val="10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0" fontId="2" fillId="3" borderId="0" pivotButton="0" quotePrefix="0" xfId="0"/>
    <xf numFmtId="0" fontId="5" fillId="3" borderId="0" applyAlignment="1" pivotButton="0" quotePrefix="0" xfId="0">
      <alignment horizontal="right"/>
    </xf>
    <xf numFmtId="166" fontId="2" fillId="3" borderId="0" applyAlignment="1" pivotButton="0" quotePrefix="0" xfId="0">
      <alignment horizontal="right"/>
    </xf>
    <xf numFmtId="167" fontId="7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7" fillId="3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0" fillId="3" borderId="0" pivotButton="0" quotePrefix="0" xfId="0"/>
    <xf numFmtId="167" fontId="2" fillId="3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2" fillId="3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1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 / EBITDA (x)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'Summary'!D9</f>
            </strRef>
          </tx>
          <spPr>
            <a:ln>
              <a:prstDash val="solid"/>
            </a:ln>
          </spPr>
          <cat>
            <numRef>
              <f>'Summary'!$A$10:$A$16</f>
            </numRef>
          </cat>
          <val>
            <numRef>
              <f>'Summary'!$D$10:$D$16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 / E (x)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'Summary'!E9</f>
            </strRef>
          </tx>
          <spPr>
            <a:ln>
              <a:prstDash val="solid"/>
            </a:ln>
          </spPr>
          <cat>
            <numRef>
              <f>'Summary'!$A$10:$A$16</f>
            </numRef>
          </cat>
          <val>
            <numRef>
              <f>'Summary'!$E$10:$E$16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Infosys value per share by method (Rs): bar = low to high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'Implied Valuation'!B32</f>
            </strRef>
          </tx>
          <spPr>
            <a:noFill/>
            <a:ln>
              <a:noFill/>
              <a:prstDash val="solid"/>
            </a:ln>
          </spPr>
          <cat>
            <numRef>
              <f>'Implied Valuation'!$A$33:$A$35</f>
            </numRef>
          </cat>
          <val>
            <numRef>
              <f>'Implied Valuation'!$B$33:$B$35</f>
            </numRef>
          </val>
        </ser>
        <ser>
          <idx val="1"/>
          <order val="1"/>
          <tx>
            <strRef>
              <f>'Implied Valuation'!E32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'Implied Valuation'!$A$33:$A$35</f>
            </numRef>
          </cat>
          <val>
            <numRef>
              <f>'Implied Valuation'!$E$33:$E$35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200"/>
          <min val="600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64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Infosys Limited</t>
        </is>
      </c>
    </row>
    <row r="2">
      <c r="A2" s="2" t="inlineStr">
        <is>
          <t>Comparable Company Analysis - Summary</t>
        </is>
      </c>
    </row>
    <row r="3">
      <c r="A3" s="3" t="inlineStr">
        <is>
          <t>Rs crore unless stated  |  Blue = reported data / input, Black = formula, Green = link from another sheet</t>
        </is>
      </c>
    </row>
    <row r="5">
      <c r="A5" s="4" t="inlineStr">
        <is>
          <t>PEER SET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TCS, HCLTech, Wipro, Tech Mahindra (Indian IT services large-caps). Prices at 28-Mar-2025; FY2025 results (year to 31-Mar-2025).</t>
        </is>
      </c>
    </row>
    <row r="8">
      <c r="A8" s="4" t="inlineStr">
        <is>
          <t>TRADING MULTIPLES</t>
        </is>
      </c>
      <c r="B8" s="4" t="n"/>
      <c r="C8" s="4" t="n"/>
      <c r="D8" s="4" t="n"/>
      <c r="E8" s="4" t="n"/>
      <c r="F8" s="4" t="n"/>
      <c r="G8" s="4" t="n"/>
    </row>
    <row r="9" ht="30" customHeight="1">
      <c r="A9" s="6" t="inlineStr">
        <is>
          <t>Company</t>
        </is>
      </c>
      <c r="B9" s="7" t="inlineStr">
        <is>
          <t>Market cap (Rs cr)</t>
        </is>
      </c>
      <c r="C9" s="7" t="inlineStr">
        <is>
          <t>EV (Rs cr)</t>
        </is>
      </c>
      <c r="D9" s="7" t="inlineStr">
        <is>
          <t>EV / EBITDA</t>
        </is>
      </c>
      <c r="E9" s="7" t="inlineStr">
        <is>
          <t>P / E</t>
        </is>
      </c>
      <c r="F9" s="7" t="inlineStr">
        <is>
          <t>EBITDA margin</t>
        </is>
      </c>
      <c r="G9" s="7" t="inlineStr">
        <is>
          <t>ROE</t>
        </is>
      </c>
    </row>
    <row r="10">
      <c r="A10" s="5" t="inlineStr">
        <is>
          <t>TCS</t>
        </is>
      </c>
      <c r="B10" s="8">
        <f>Comps!D6</f>
        <v/>
      </c>
      <c r="C10" s="8">
        <f>Comps!I6</f>
        <v/>
      </c>
      <c r="D10" s="9">
        <f>Comps!O6</f>
        <v/>
      </c>
      <c r="E10" s="9">
        <f>Comps!P6</f>
        <v/>
      </c>
      <c r="F10" s="10">
        <f>'Operating Metrics'!D6</f>
        <v/>
      </c>
      <c r="G10" s="10">
        <f>'Operating Metrics'!G6</f>
        <v/>
      </c>
    </row>
    <row r="11">
      <c r="A11" s="5" t="inlineStr">
        <is>
          <t>HCLTech</t>
        </is>
      </c>
      <c r="B11" s="8">
        <f>Comps!D7</f>
        <v/>
      </c>
      <c r="C11" s="8">
        <f>Comps!I7</f>
        <v/>
      </c>
      <c r="D11" s="9">
        <f>Comps!O7</f>
        <v/>
      </c>
      <c r="E11" s="9">
        <f>Comps!P7</f>
        <v/>
      </c>
      <c r="F11" s="10">
        <f>'Operating Metrics'!D7</f>
        <v/>
      </c>
      <c r="G11" s="10">
        <f>'Operating Metrics'!G7</f>
        <v/>
      </c>
    </row>
    <row r="12">
      <c r="A12" s="5" t="inlineStr">
        <is>
          <t>Wipro</t>
        </is>
      </c>
      <c r="B12" s="8">
        <f>Comps!D8</f>
        <v/>
      </c>
      <c r="C12" s="8">
        <f>Comps!I8</f>
        <v/>
      </c>
      <c r="D12" s="9">
        <f>Comps!O8</f>
        <v/>
      </c>
      <c r="E12" s="9">
        <f>Comps!P8</f>
        <v/>
      </c>
      <c r="F12" s="10">
        <f>'Operating Metrics'!D8</f>
        <v/>
      </c>
      <c r="G12" s="10">
        <f>'Operating Metrics'!G8</f>
        <v/>
      </c>
    </row>
    <row r="13">
      <c r="A13" s="5" t="inlineStr">
        <is>
          <t>Tech Mahindra</t>
        </is>
      </c>
      <c r="B13" s="8">
        <f>Comps!D9</f>
        <v/>
      </c>
      <c r="C13" s="8">
        <f>Comps!I9</f>
        <v/>
      </c>
      <c r="D13" s="9">
        <f>Comps!O9</f>
        <v/>
      </c>
      <c r="E13" s="9">
        <f>Comps!P9</f>
        <v/>
      </c>
      <c r="F13" s="10">
        <f>'Operating Metrics'!D9</f>
        <v/>
      </c>
      <c r="G13" s="10">
        <f>'Operating Metrics'!G9</f>
        <v/>
      </c>
    </row>
    <row r="14">
      <c r="A14" s="11" t="inlineStr">
        <is>
          <t>Peer median</t>
        </is>
      </c>
      <c r="B14" s="12" t="inlineStr"/>
      <c r="C14" s="12" t="inlineStr"/>
      <c r="D14" s="13">
        <f>Comps!O12</f>
        <v/>
      </c>
      <c r="E14" s="13">
        <f>Comps!P12</f>
        <v/>
      </c>
      <c r="F14" s="14">
        <f>'Operating Metrics'!D12</f>
        <v/>
      </c>
      <c r="G14" s="14">
        <f>'Operating Metrics'!G12</f>
        <v/>
      </c>
    </row>
    <row r="15">
      <c r="A15" s="5" t="inlineStr">
        <is>
          <t>Peer mean</t>
        </is>
      </c>
      <c r="B15" s="15" t="inlineStr"/>
      <c r="C15" s="15" t="inlineStr"/>
      <c r="D15" s="9">
        <f>Comps!O11</f>
        <v/>
      </c>
      <c r="E15" s="9">
        <f>Comps!P11</f>
        <v/>
      </c>
      <c r="F15" s="10">
        <f>'Operating Metrics'!D11</f>
        <v/>
      </c>
      <c r="G15" s="10">
        <f>'Operating Metrics'!G11</f>
        <v/>
      </c>
    </row>
    <row r="16">
      <c r="A16" s="11" t="inlineStr">
        <is>
          <t>Infosys</t>
        </is>
      </c>
      <c r="B16" s="16">
        <f>Comps!D16</f>
        <v/>
      </c>
      <c r="C16" s="16">
        <f>Comps!I16</f>
        <v/>
      </c>
      <c r="D16" s="13">
        <f>Comps!O16</f>
        <v/>
      </c>
      <c r="E16" s="13">
        <f>Comps!P16</f>
        <v/>
      </c>
      <c r="F16" s="14">
        <f>'Operating Metrics'!D16</f>
        <v/>
      </c>
      <c r="G16" s="14">
        <f>'Operating Metrics'!G16</f>
        <v/>
      </c>
    </row>
    <row r="19">
      <c r="A19" s="4" t="inlineStr">
        <is>
          <t>WHAT THE PEER MULTIPLES SAY ABOUT INFOSYS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>Infosys EV / EBITDA vs peer median</t>
        </is>
      </c>
      <c r="B20" s="10">
        <f>'Comps'!O17</f>
        <v/>
      </c>
    </row>
    <row r="21">
      <c r="A21" s="5" t="inlineStr">
        <is>
          <t>Infosys P / E vs peer median</t>
        </is>
      </c>
      <c r="B21" s="10">
        <f>'Comps'!P17</f>
        <v/>
      </c>
    </row>
    <row r="22">
      <c r="A22" s="5" t="inlineStr">
        <is>
          <t>Implied value per share at peer-median EV / EBITDA (Rs)</t>
        </is>
      </c>
      <c r="B22" s="17">
        <f>'Implied Valuation'!C22</f>
        <v/>
      </c>
    </row>
    <row r="23">
      <c r="A23" s="5" t="inlineStr">
        <is>
          <t>Implied value per share at peer-median P / E (Rs)</t>
        </is>
      </c>
      <c r="B23" s="17">
        <f>'Implied Valuation'!C25</f>
        <v/>
      </c>
    </row>
    <row r="24">
      <c r="A24" s="2" t="inlineStr">
        <is>
          <t>Average of the two peer-median values (Rs)</t>
        </is>
      </c>
      <c r="B24" s="18">
        <f>'Implied Valuation'!C37</f>
        <v/>
      </c>
    </row>
    <row r="25">
      <c r="A25" s="5" t="inlineStr">
        <is>
          <t>Market price at 28-Mar-2025 (Rs)</t>
        </is>
      </c>
      <c r="B25" s="17">
        <f>'Implied Valuation'!C36</f>
        <v/>
      </c>
    </row>
    <row r="26">
      <c r="A26" s="5" t="inlineStr">
        <is>
          <t>DCF value per share, base case (Rs)</t>
        </is>
      </c>
      <c r="B26" s="17">
        <f>'Implied Valuation'!B15</f>
        <v/>
      </c>
    </row>
    <row r="27">
      <c r="A27" s="2" t="inlineStr">
        <is>
          <t>Peer-median value vs market price</t>
        </is>
      </c>
      <c r="B27" s="19">
        <f>'Implied Valuation'!C38</f>
        <v/>
      </c>
    </row>
    <row r="29">
      <c r="A29" s="2" t="inlineStr">
        <is>
          <t>Conclusion</t>
        </is>
      </c>
    </row>
    <row r="30">
      <c r="A30" s="20" t="inlineStr">
        <is>
          <t>Infosys trades at a small discount to the peer median on both EV/EBITDA and P/E. Applying peer-median multiples gives a value above the market price, while the DCF base case gives a lower value, because the DCF assumes only moderate growth and a 11.7% discount rate. The comps range therefore supports the current market price, and the DCF shows how much growth or lower required return the price depends on.</t>
        </is>
      </c>
    </row>
    <row r="31"/>
    <row r="32"/>
    <row r="33"/>
    <row r="34"/>
  </sheetData>
  <mergeCells count="1">
    <mergeCell ref="A30:G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F81BD"/>
    <outlinePr summaryBelow="1" summaryRight="1"/>
    <pageSetUpPr/>
  </sheetPr>
  <dimension ref="A1:P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1" t="inlineStr">
        <is>
          <t>Infosys Limited</t>
        </is>
      </c>
    </row>
    <row r="2">
      <c r="A2" s="2" t="inlineStr">
        <is>
          <t>Comparable Company Analysis - trading multiples at 28-Mar-2025 (FY2025 results)</t>
        </is>
      </c>
    </row>
    <row r="3">
      <c r="A3" s="3" t="inlineStr">
        <is>
          <t>Rs crore unless stated  |  Blue = reported data / input, Black = formula, Green = link from another sheet</t>
        </is>
      </c>
    </row>
    <row r="5" ht="42" customHeight="1">
      <c r="A5" s="6" t="inlineStr">
        <is>
          <t>Company</t>
        </is>
      </c>
      <c r="B5" s="7" t="inlineStr">
        <is>
          <t>Share price (Rs)</t>
        </is>
      </c>
      <c r="C5" s="7" t="inlineStr">
        <is>
          <t>Shares (crore)</t>
        </is>
      </c>
      <c r="D5" s="7" t="inlineStr">
        <is>
          <t>Market cap</t>
        </is>
      </c>
      <c r="E5" s="7" t="inlineStr">
        <is>
          <t>Debt</t>
        </is>
      </c>
      <c r="F5" s="7" t="inlineStr">
        <is>
          <t>Lease liabilities</t>
        </is>
      </c>
      <c r="G5" s="7" t="inlineStr">
        <is>
          <t>Minority interest</t>
        </is>
      </c>
      <c r="H5" s="7" t="inlineStr">
        <is>
          <t>Cash &amp; investments</t>
        </is>
      </c>
      <c r="I5" s="7" t="inlineStr">
        <is>
          <t>Enterprise value (EV)</t>
        </is>
      </c>
      <c r="J5" s="7" t="inlineStr">
        <is>
          <t>Revenue FY25</t>
        </is>
      </c>
      <c r="K5" s="7" t="inlineStr">
        <is>
          <t>EBITDA FY25</t>
        </is>
      </c>
      <c r="L5" s="7" t="inlineStr">
        <is>
          <t>Profit after tax (owners)</t>
        </is>
      </c>
      <c r="M5" s="7" t="inlineStr">
        <is>
          <t>EPS (Rs)</t>
        </is>
      </c>
      <c r="N5" s="7" t="inlineStr">
        <is>
          <t>EV / Sales</t>
        </is>
      </c>
      <c r="O5" s="7" t="inlineStr">
        <is>
          <t>EV / EBITDA</t>
        </is>
      </c>
      <c r="P5" s="7" t="inlineStr">
        <is>
          <t>P / E</t>
        </is>
      </c>
    </row>
    <row r="6">
      <c r="A6" s="2" t="inlineStr">
        <is>
          <t>TCS</t>
        </is>
      </c>
      <c r="B6" s="17">
        <f>'Source Data'!C8</f>
        <v/>
      </c>
      <c r="C6" s="17">
        <f>'Source Data'!C9/'Source Data'!C7/'Source Data'!C10</f>
        <v/>
      </c>
      <c r="D6" s="21">
        <f>B6*C6</f>
        <v/>
      </c>
      <c r="E6" s="8">
        <f>'Source Data'!C25/'Source Data'!C7</f>
        <v/>
      </c>
      <c r="F6" s="8">
        <f>'Source Data'!C26/'Source Data'!C7</f>
        <v/>
      </c>
      <c r="G6" s="8">
        <f>'Source Data'!C27/'Source Data'!C7</f>
        <v/>
      </c>
      <c r="H6" s="8">
        <f>('Source Data'!C21+'Source Data'!C22+'Source Data'!C23+'Source Data'!C24)/'Source Data'!C7</f>
        <v/>
      </c>
      <c r="I6" s="22">
        <f>D6+E6+F6+G6-H6</f>
        <v/>
      </c>
      <c r="J6" s="8">
        <f>'Source Data'!C11/'Source Data'!C7</f>
        <v/>
      </c>
      <c r="K6" s="8">
        <f>('Source Data'!C11-'Source Data'!C13)/'Source Data'!C7</f>
        <v/>
      </c>
      <c r="L6" s="8">
        <f>'Source Data'!C19/'Source Data'!C7</f>
        <v/>
      </c>
      <c r="M6" s="17">
        <f>'Source Data'!C20</f>
        <v/>
      </c>
      <c r="N6" s="23">
        <f>I6/J6</f>
        <v/>
      </c>
      <c r="O6" s="23">
        <f>I6/K6</f>
        <v/>
      </c>
      <c r="P6" s="23">
        <f>B6/M6</f>
        <v/>
      </c>
    </row>
    <row r="7">
      <c r="A7" s="2" t="inlineStr">
        <is>
          <t>HCLTech</t>
        </is>
      </c>
      <c r="B7" s="17">
        <f>'Source Data'!D8</f>
        <v/>
      </c>
      <c r="C7" s="17">
        <f>'Source Data'!D9/'Source Data'!D7/'Source Data'!D10</f>
        <v/>
      </c>
      <c r="D7" s="21">
        <f>B7*C7</f>
        <v/>
      </c>
      <c r="E7" s="8">
        <f>'Source Data'!D25/'Source Data'!D7</f>
        <v/>
      </c>
      <c r="F7" s="8">
        <f>'Source Data'!D26/'Source Data'!D7</f>
        <v/>
      </c>
      <c r="G7" s="8">
        <f>'Source Data'!D27/'Source Data'!D7</f>
        <v/>
      </c>
      <c r="H7" s="8">
        <f>('Source Data'!D21+'Source Data'!D22+'Source Data'!D23+'Source Data'!D24)/'Source Data'!D7</f>
        <v/>
      </c>
      <c r="I7" s="22">
        <f>D7+E7+F7+G7-H7</f>
        <v/>
      </c>
      <c r="J7" s="8">
        <f>'Source Data'!D11/'Source Data'!D7</f>
        <v/>
      </c>
      <c r="K7" s="8">
        <f>('Source Data'!D11-'Source Data'!D13)/'Source Data'!D7</f>
        <v/>
      </c>
      <c r="L7" s="8">
        <f>'Source Data'!D19/'Source Data'!D7</f>
        <v/>
      </c>
      <c r="M7" s="17">
        <f>'Source Data'!D20</f>
        <v/>
      </c>
      <c r="N7" s="23">
        <f>I7/J7</f>
        <v/>
      </c>
      <c r="O7" s="23">
        <f>I7/K7</f>
        <v/>
      </c>
      <c r="P7" s="23">
        <f>B7/M7</f>
        <v/>
      </c>
    </row>
    <row r="8">
      <c r="A8" s="2" t="inlineStr">
        <is>
          <t>Wipro</t>
        </is>
      </c>
      <c r="B8" s="17">
        <f>'Source Data'!E8</f>
        <v/>
      </c>
      <c r="C8" s="17">
        <f>'Source Data'!E9/'Source Data'!E7/'Source Data'!E10</f>
        <v/>
      </c>
      <c r="D8" s="21">
        <f>B8*C8</f>
        <v/>
      </c>
      <c r="E8" s="8">
        <f>'Source Data'!E25/'Source Data'!E7</f>
        <v/>
      </c>
      <c r="F8" s="8">
        <f>'Source Data'!E26/'Source Data'!E7</f>
        <v/>
      </c>
      <c r="G8" s="8">
        <f>'Source Data'!E27/'Source Data'!E7</f>
        <v/>
      </c>
      <c r="H8" s="8">
        <f>('Source Data'!E21+'Source Data'!E22+'Source Data'!E23+'Source Data'!E24)/'Source Data'!E7</f>
        <v/>
      </c>
      <c r="I8" s="22">
        <f>D8+E8+F8+G8-H8</f>
        <v/>
      </c>
      <c r="J8" s="8">
        <f>'Source Data'!E11/'Source Data'!E7</f>
        <v/>
      </c>
      <c r="K8" s="8">
        <f>('Source Data'!E11-'Source Data'!E13)/'Source Data'!E7</f>
        <v/>
      </c>
      <c r="L8" s="8">
        <f>'Source Data'!E19/'Source Data'!E7</f>
        <v/>
      </c>
      <c r="M8" s="17">
        <f>'Source Data'!E20</f>
        <v/>
      </c>
      <c r="N8" s="23">
        <f>I8/J8</f>
        <v/>
      </c>
      <c r="O8" s="23">
        <f>I8/K8</f>
        <v/>
      </c>
      <c r="P8" s="23">
        <f>B8/M8</f>
        <v/>
      </c>
    </row>
    <row r="9">
      <c r="A9" s="2" t="inlineStr">
        <is>
          <t>Tech Mahindra</t>
        </is>
      </c>
      <c r="B9" s="17">
        <f>'Source Data'!F8</f>
        <v/>
      </c>
      <c r="C9" s="17">
        <f>'Source Data'!F9/'Source Data'!F7/'Source Data'!F10</f>
        <v/>
      </c>
      <c r="D9" s="21">
        <f>B9*C9</f>
        <v/>
      </c>
      <c r="E9" s="8">
        <f>'Source Data'!F25/'Source Data'!F7</f>
        <v/>
      </c>
      <c r="F9" s="8">
        <f>'Source Data'!F26/'Source Data'!F7</f>
        <v/>
      </c>
      <c r="G9" s="8">
        <f>'Source Data'!F27/'Source Data'!F7</f>
        <v/>
      </c>
      <c r="H9" s="8">
        <f>('Source Data'!F21+'Source Data'!F22+'Source Data'!F23+'Source Data'!F24)/'Source Data'!F7</f>
        <v/>
      </c>
      <c r="I9" s="22">
        <f>D9+E9+F9+G9-H9</f>
        <v/>
      </c>
      <c r="J9" s="8">
        <f>'Source Data'!F11/'Source Data'!F7</f>
        <v/>
      </c>
      <c r="K9" s="8">
        <f>('Source Data'!F11-'Source Data'!F13)/'Source Data'!F7</f>
        <v/>
      </c>
      <c r="L9" s="8">
        <f>'Source Data'!F19/'Source Data'!F7</f>
        <v/>
      </c>
      <c r="M9" s="17">
        <f>'Source Data'!F20</f>
        <v/>
      </c>
      <c r="N9" s="23">
        <f>I9/J9</f>
        <v/>
      </c>
      <c r="O9" s="23">
        <f>I9/K9</f>
        <v/>
      </c>
      <c r="P9" s="23">
        <f>B9/M9</f>
        <v/>
      </c>
    </row>
    <row r="11">
      <c r="A11" s="11" t="inlineStr">
        <is>
          <t>Peer Mean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13">
        <f>AVERAGE(N6:N9)</f>
        <v/>
      </c>
      <c r="O11" s="13">
        <f>AVERAGE(O6:O9)</f>
        <v/>
      </c>
      <c r="P11" s="13">
        <f>AVERAGE(P6:P9)</f>
        <v/>
      </c>
    </row>
    <row r="12">
      <c r="A12" s="11" t="inlineStr">
        <is>
          <t>Peer Median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13">
        <f>MEDIAN(N6:N9)</f>
        <v/>
      </c>
      <c r="O12" s="13">
        <f>MEDIAN(O6:O9)</f>
        <v/>
      </c>
      <c r="P12" s="13">
        <f>MEDIAN(P6:P9)</f>
        <v/>
      </c>
    </row>
    <row r="13">
      <c r="A13" s="11" t="inlineStr">
        <is>
          <t>Peer High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13">
        <f>MAX(N6:N9)</f>
        <v/>
      </c>
      <c r="O13" s="13">
        <f>MAX(O6:O9)</f>
        <v/>
      </c>
      <c r="P13" s="13">
        <f>MAX(P6:P9)</f>
        <v/>
      </c>
    </row>
    <row r="14">
      <c r="A14" s="11" t="inlineStr">
        <is>
          <t>Peer Low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13">
        <f>MIN(N6:N9)</f>
        <v/>
      </c>
      <c r="O14" s="13">
        <f>MIN(O6:O9)</f>
        <v/>
      </c>
      <c r="P14" s="13">
        <f>MIN(P6:P9)</f>
        <v/>
      </c>
    </row>
    <row r="16">
      <c r="A16" s="2" t="inlineStr">
        <is>
          <t>Infosys Ltd. (subject)</t>
        </is>
      </c>
      <c r="B16" s="17">
        <f>'Source Data'!B8</f>
        <v/>
      </c>
      <c r="C16" s="17">
        <f>'Source Data'!B9/'Source Data'!B7/'Source Data'!B10</f>
        <v/>
      </c>
      <c r="D16" s="21">
        <f>B16*C16</f>
        <v/>
      </c>
      <c r="E16" s="8">
        <f>'Source Data'!B25/'Source Data'!B7</f>
        <v/>
      </c>
      <c r="F16" s="8">
        <f>'Source Data'!B26/'Source Data'!B7</f>
        <v/>
      </c>
      <c r="G16" s="8">
        <f>'Source Data'!B27/'Source Data'!B7</f>
        <v/>
      </c>
      <c r="H16" s="8">
        <f>('Source Data'!B21+'Source Data'!B22+'Source Data'!B23+'Source Data'!B24)/'Source Data'!B7</f>
        <v/>
      </c>
      <c r="I16" s="22">
        <f>D16+E16+F16+G16-H16</f>
        <v/>
      </c>
      <c r="J16" s="8">
        <f>'Source Data'!B11/'Source Data'!B7</f>
        <v/>
      </c>
      <c r="K16" s="8">
        <f>('Source Data'!B11-'Source Data'!B13)/'Source Data'!B7</f>
        <v/>
      </c>
      <c r="L16" s="8">
        <f>'Source Data'!B19/'Source Data'!B7</f>
        <v/>
      </c>
      <c r="M16" s="17">
        <f>'Source Data'!B20</f>
        <v/>
      </c>
      <c r="N16" s="23">
        <f>I16/J16</f>
        <v/>
      </c>
      <c r="O16" s="23">
        <f>I16/K16</f>
        <v/>
      </c>
      <c r="P16" s="23">
        <f>B16/M16</f>
        <v/>
      </c>
    </row>
    <row r="17">
      <c r="A17" s="2" t="inlineStr">
        <is>
          <t>Infosys premium / (discount) to peer median</t>
        </is>
      </c>
      <c r="N17" s="19">
        <f>N16/N12-1</f>
        <v/>
      </c>
      <c r="O17" s="19">
        <f>O16/O12-1</f>
        <v/>
      </c>
      <c r="P17" s="19">
        <f>P16/P12-1</f>
        <v/>
      </c>
    </row>
    <row r="19">
      <c r="A19" s="3" t="inlineStr">
        <is>
          <t>Enterprise value = market cap + borrowings + lease liabilities + minority interest - cash and investments (all investments, bank balances and deposits).</t>
        </is>
      </c>
    </row>
    <row r="20">
      <c r="A20" s="3" t="inlineStr">
        <is>
          <t>EBITDA = revenue less operating costs before depreciation, finance cost, other income and exceptional items (post Ind AS 116, so leases are included in EV for consistency).</t>
        </is>
      </c>
    </row>
    <row r="21">
      <c r="A21" s="3" t="inlineStr">
        <is>
          <t>Multiples use trailing FY2025 results (year ended 31-Mar-2025). No consensus estimates are used. Peer statistics exclude Infosys.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/>
  </sheetPr>
  <dimension ref="A1:J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Infosys Limited</t>
        </is>
      </c>
    </row>
    <row r="2">
      <c r="A2" s="2" t="inlineStr">
        <is>
          <t>Operating and financial metrics - why the multiples differ</t>
        </is>
      </c>
    </row>
    <row r="3">
      <c r="A3" s="3" t="inlineStr">
        <is>
          <t>Rs crore unless stated  |  Blue = reported data / input, Black = formula, Green = link from another sheet</t>
        </is>
      </c>
    </row>
    <row r="5" ht="42" customHeight="1">
      <c r="A5" s="6" t="inlineStr">
        <is>
          <t>Company</t>
        </is>
      </c>
      <c r="B5" s="7" t="inlineStr">
        <is>
          <t>Revenue growth FY25</t>
        </is>
      </c>
      <c r="C5" s="7" t="inlineStr">
        <is>
          <t>Profit growth FY25</t>
        </is>
      </c>
      <c r="D5" s="7" t="inlineStr">
        <is>
          <t>EBITDA margin</t>
        </is>
      </c>
      <c r="E5" s="7" t="inlineStr">
        <is>
          <t>EBIT margin</t>
        </is>
      </c>
      <c r="F5" s="7" t="inlineStr">
        <is>
          <t>Net profit margin</t>
        </is>
      </c>
      <c r="G5" s="7" t="inlineStr">
        <is>
          <t>Return on equity</t>
        </is>
      </c>
      <c r="H5" s="7" t="inlineStr">
        <is>
          <t>Net cash % of market cap</t>
        </is>
      </c>
      <c r="I5" s="7" t="inlineStr">
        <is>
          <t>Free cash flow / net profit</t>
        </is>
      </c>
      <c r="J5" s="7" t="inlineStr">
        <is>
          <t>Capex % of revenue</t>
        </is>
      </c>
    </row>
    <row r="6">
      <c r="A6" s="2" t="inlineStr">
        <is>
          <t>TCS</t>
        </is>
      </c>
      <c r="B6" s="10">
        <f>'Source Data'!C11/'Source Data'!C12-1</f>
        <v/>
      </c>
      <c r="C6" s="10">
        <f>'Source Data'!C17/'Source Data'!C18-1</f>
        <v/>
      </c>
      <c r="D6" s="10">
        <f>('Source Data'!C11-'Source Data'!C13)/'Source Data'!C11</f>
        <v/>
      </c>
      <c r="E6" s="10">
        <f>('Source Data'!C11-'Source Data'!C13-'Source Data'!C14)/'Source Data'!C11</f>
        <v/>
      </c>
      <c r="F6" s="10">
        <f>'Source Data'!C17/'Source Data'!C11</f>
        <v/>
      </c>
      <c r="G6" s="10">
        <f>'Source Data'!C19/'Source Data'!C28</f>
        <v/>
      </c>
      <c r="H6" s="10">
        <f>(Comps!H6-Comps!E6-Comps!F6)/Comps!D6</f>
        <v/>
      </c>
      <c r="I6" s="10">
        <f>('Source Data'!C29-'Source Data'!C30)/'Source Data'!C17</f>
        <v/>
      </c>
      <c r="J6" s="10">
        <f>'Source Data'!C30/'Source Data'!C11</f>
        <v/>
      </c>
    </row>
    <row r="7">
      <c r="A7" s="2" t="inlineStr">
        <is>
          <t>HCLTech</t>
        </is>
      </c>
      <c r="B7" s="10">
        <f>'Source Data'!D11/'Source Data'!D12-1</f>
        <v/>
      </c>
      <c r="C7" s="10">
        <f>'Source Data'!D17/'Source Data'!D18-1</f>
        <v/>
      </c>
      <c r="D7" s="10">
        <f>('Source Data'!D11-'Source Data'!D13)/'Source Data'!D11</f>
        <v/>
      </c>
      <c r="E7" s="10">
        <f>('Source Data'!D11-'Source Data'!D13-'Source Data'!D14)/'Source Data'!D11</f>
        <v/>
      </c>
      <c r="F7" s="10">
        <f>'Source Data'!D17/'Source Data'!D11</f>
        <v/>
      </c>
      <c r="G7" s="10">
        <f>'Source Data'!D19/'Source Data'!D28</f>
        <v/>
      </c>
      <c r="H7" s="10">
        <f>(Comps!H7-Comps!E7-Comps!F7)/Comps!D7</f>
        <v/>
      </c>
      <c r="I7" s="10">
        <f>('Source Data'!D29-'Source Data'!D30)/'Source Data'!D17</f>
        <v/>
      </c>
      <c r="J7" s="10">
        <f>'Source Data'!D30/'Source Data'!D11</f>
        <v/>
      </c>
    </row>
    <row r="8">
      <c r="A8" s="2" t="inlineStr">
        <is>
          <t>Wipro</t>
        </is>
      </c>
      <c r="B8" s="10">
        <f>'Source Data'!E11/'Source Data'!E12-1</f>
        <v/>
      </c>
      <c r="C8" s="10">
        <f>'Source Data'!E17/'Source Data'!E18-1</f>
        <v/>
      </c>
      <c r="D8" s="10">
        <f>('Source Data'!E11-'Source Data'!E13)/'Source Data'!E11</f>
        <v/>
      </c>
      <c r="E8" s="10">
        <f>('Source Data'!E11-'Source Data'!E13-'Source Data'!E14)/'Source Data'!E11</f>
        <v/>
      </c>
      <c r="F8" s="10">
        <f>'Source Data'!E17/'Source Data'!E11</f>
        <v/>
      </c>
      <c r="G8" s="10">
        <f>'Source Data'!E19/'Source Data'!E28</f>
        <v/>
      </c>
      <c r="H8" s="10">
        <f>(Comps!H8-Comps!E8-Comps!F8)/Comps!D8</f>
        <v/>
      </c>
      <c r="I8" s="10">
        <f>('Source Data'!E29-'Source Data'!E30)/'Source Data'!E17</f>
        <v/>
      </c>
      <c r="J8" s="10">
        <f>'Source Data'!E30/'Source Data'!E11</f>
        <v/>
      </c>
    </row>
    <row r="9">
      <c r="A9" s="2" t="inlineStr">
        <is>
          <t>Tech Mahindra</t>
        </is>
      </c>
      <c r="B9" s="10">
        <f>'Source Data'!F11/'Source Data'!F12-1</f>
        <v/>
      </c>
      <c r="C9" s="10">
        <f>'Source Data'!F17/'Source Data'!F18-1</f>
        <v/>
      </c>
      <c r="D9" s="10">
        <f>('Source Data'!F11-'Source Data'!F13)/'Source Data'!F11</f>
        <v/>
      </c>
      <c r="E9" s="10">
        <f>('Source Data'!F11-'Source Data'!F13-'Source Data'!F14)/'Source Data'!F11</f>
        <v/>
      </c>
      <c r="F9" s="10">
        <f>'Source Data'!F17/'Source Data'!F11</f>
        <v/>
      </c>
      <c r="G9" s="10">
        <f>'Source Data'!F19/'Source Data'!F28</f>
        <v/>
      </c>
      <c r="H9" s="10">
        <f>(Comps!H9-Comps!E9-Comps!F9)/Comps!D9</f>
        <v/>
      </c>
      <c r="I9" s="10">
        <f>('Source Data'!F29-'Source Data'!F30)/'Source Data'!F17</f>
        <v/>
      </c>
      <c r="J9" s="10">
        <f>'Source Data'!F30/'Source Data'!F11</f>
        <v/>
      </c>
    </row>
    <row r="11">
      <c r="A11" s="11" t="inlineStr">
        <is>
          <t>Peer Mean</t>
        </is>
      </c>
      <c r="B11" s="25">
        <f>AVERAGE(B6:B9)</f>
        <v/>
      </c>
      <c r="C11" s="25">
        <f>AVERAGE(C6:C9)</f>
        <v/>
      </c>
      <c r="D11" s="25">
        <f>AVERAGE(D6:D9)</f>
        <v/>
      </c>
      <c r="E11" s="25">
        <f>AVERAGE(E6:E9)</f>
        <v/>
      </c>
      <c r="F11" s="25">
        <f>AVERAGE(F6:F9)</f>
        <v/>
      </c>
      <c r="G11" s="25">
        <f>AVERAGE(G6:G9)</f>
        <v/>
      </c>
      <c r="H11" s="25">
        <f>AVERAGE(H6:H9)</f>
        <v/>
      </c>
      <c r="I11" s="25">
        <f>AVERAGE(I6:I9)</f>
        <v/>
      </c>
      <c r="J11" s="25">
        <f>AVERAGE(J6:J9)</f>
        <v/>
      </c>
    </row>
    <row r="12">
      <c r="A12" s="11" t="inlineStr">
        <is>
          <t>Peer Median</t>
        </is>
      </c>
      <c r="B12" s="25">
        <f>MEDIAN(B6:B9)</f>
        <v/>
      </c>
      <c r="C12" s="25">
        <f>MEDIAN(C6:C9)</f>
        <v/>
      </c>
      <c r="D12" s="25">
        <f>MEDIAN(D6:D9)</f>
        <v/>
      </c>
      <c r="E12" s="25">
        <f>MEDIAN(E6:E9)</f>
        <v/>
      </c>
      <c r="F12" s="25">
        <f>MEDIAN(F6:F9)</f>
        <v/>
      </c>
      <c r="G12" s="25">
        <f>MEDIAN(G6:G9)</f>
        <v/>
      </c>
      <c r="H12" s="25">
        <f>MEDIAN(H6:H9)</f>
        <v/>
      </c>
      <c r="I12" s="25">
        <f>MEDIAN(I6:I9)</f>
        <v/>
      </c>
      <c r="J12" s="25">
        <f>MEDIAN(J6:J9)</f>
        <v/>
      </c>
    </row>
    <row r="13">
      <c r="A13" s="11" t="inlineStr">
        <is>
          <t>Peer High</t>
        </is>
      </c>
      <c r="B13" s="25">
        <f>MAX(B6:B9)</f>
        <v/>
      </c>
      <c r="C13" s="25">
        <f>MAX(C6:C9)</f>
        <v/>
      </c>
      <c r="D13" s="25">
        <f>MAX(D6:D9)</f>
        <v/>
      </c>
      <c r="E13" s="25">
        <f>MAX(E6:E9)</f>
        <v/>
      </c>
      <c r="F13" s="25">
        <f>MAX(F6:F9)</f>
        <v/>
      </c>
      <c r="G13" s="25">
        <f>MAX(G6:G9)</f>
        <v/>
      </c>
      <c r="H13" s="25">
        <f>MAX(H6:H9)</f>
        <v/>
      </c>
      <c r="I13" s="25">
        <f>MAX(I6:I9)</f>
        <v/>
      </c>
      <c r="J13" s="25">
        <f>MAX(J6:J9)</f>
        <v/>
      </c>
    </row>
    <row r="14">
      <c r="A14" s="11" t="inlineStr">
        <is>
          <t>Peer Low</t>
        </is>
      </c>
      <c r="B14" s="25">
        <f>MIN(B6:B9)</f>
        <v/>
      </c>
      <c r="C14" s="25">
        <f>MIN(C6:C9)</f>
        <v/>
      </c>
      <c r="D14" s="25">
        <f>MIN(D6:D9)</f>
        <v/>
      </c>
      <c r="E14" s="25">
        <f>MIN(E6:E9)</f>
        <v/>
      </c>
      <c r="F14" s="25">
        <f>MIN(F6:F9)</f>
        <v/>
      </c>
      <c r="G14" s="25">
        <f>MIN(G6:G9)</f>
        <v/>
      </c>
      <c r="H14" s="25">
        <f>MIN(H6:H9)</f>
        <v/>
      </c>
      <c r="I14" s="25">
        <f>MIN(I6:I9)</f>
        <v/>
      </c>
      <c r="J14" s="25">
        <f>MIN(J6:J9)</f>
        <v/>
      </c>
    </row>
    <row r="16">
      <c r="A16" s="2" t="inlineStr">
        <is>
          <t>Infosys Ltd. (subject)</t>
        </is>
      </c>
      <c r="B16" s="10">
        <f>'Source Data'!B11/'Source Data'!B12-1</f>
        <v/>
      </c>
      <c r="C16" s="10">
        <f>'Source Data'!B17/'Source Data'!B18-1</f>
        <v/>
      </c>
      <c r="D16" s="10">
        <f>('Source Data'!B11-'Source Data'!B13)/'Source Data'!B11</f>
        <v/>
      </c>
      <c r="E16" s="10">
        <f>('Source Data'!B11-'Source Data'!B13-'Source Data'!B14)/'Source Data'!B11</f>
        <v/>
      </c>
      <c r="F16" s="10">
        <f>'Source Data'!B17/'Source Data'!B11</f>
        <v/>
      </c>
      <c r="G16" s="10">
        <f>'Source Data'!B19/'Source Data'!B28</f>
        <v/>
      </c>
      <c r="H16" s="10">
        <f>(Comps!H16-Comps!E16-Comps!F16)/Comps!D16</f>
        <v/>
      </c>
      <c r="I16" s="10">
        <f>('Source Data'!B29-'Source Data'!B30)/'Source Data'!B17</f>
        <v/>
      </c>
      <c r="J16" s="10">
        <f>'Source Data'!B30/'Source Data'!B11</f>
        <v/>
      </c>
    </row>
    <row r="18">
      <c r="A18" s="2" t="inlineStr">
        <is>
          <t>Reading the table</t>
        </is>
      </c>
    </row>
    <row r="19">
      <c r="A19" s="3" t="inlineStr">
        <is>
          <t>Higher growth, higher margins and higher returns normally justify a higher multiple. Tech Mahindra's P/E is high because its profit is still recovering from a weak FY24 (EBITDA margin rose from about 9.5% to 13.2%).</t>
        </is>
      </c>
    </row>
    <row r="20">
      <c r="A20" s="3" t="inlineStr">
        <is>
          <t>Net cash % of market cap shows balance-sheet strength: Infosys and TCS have no borrowings; Wipro holds a large net cash pile.</t>
        </is>
      </c>
    </row>
    <row r="21">
      <c r="A21" s="3" t="inlineStr">
        <is>
          <t>Free cash flow / net profit shows how much of accounting profit turns into cash (operating cash flow less capex, divided by profit for the year).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Infosys Limited</t>
        </is>
      </c>
    </row>
    <row r="2">
      <c r="A2" s="2" t="inlineStr">
        <is>
          <t>What peer multiples imply for the Infosys share price</t>
        </is>
      </c>
    </row>
    <row r="3">
      <c r="A3" s="3" t="inlineStr">
        <is>
          <t>Rs crore unless stated  |  Blue = reported data / input, Black = formula, Green = link from another sheet</t>
        </is>
      </c>
    </row>
    <row r="5">
      <c r="A5" s="4" t="inlineStr">
        <is>
          <t>Infosys inputs (FY2025)</t>
        </is>
      </c>
      <c r="B5" s="4" t="n"/>
    </row>
    <row r="6">
      <c r="A6" s="5" t="inlineStr">
        <is>
          <t>Revenue</t>
        </is>
      </c>
      <c r="B6" s="8">
        <f>Comps!J16</f>
        <v/>
      </c>
    </row>
    <row r="7">
      <c r="A7" s="5" t="inlineStr">
        <is>
          <t>EBITDA</t>
        </is>
      </c>
      <c r="B7" s="8">
        <f>Comps!K16</f>
        <v/>
      </c>
    </row>
    <row r="8">
      <c r="A8" s="5" t="inlineStr">
        <is>
          <t>EPS (Rs)</t>
        </is>
      </c>
      <c r="B8" s="17">
        <f>Comps!M16</f>
        <v/>
      </c>
    </row>
    <row r="9">
      <c r="A9" s="5" t="inlineStr">
        <is>
          <t>Cash and investments</t>
        </is>
      </c>
      <c r="B9" s="8">
        <f>Comps!H16</f>
        <v/>
      </c>
    </row>
    <row r="10">
      <c r="A10" s="5" t="inlineStr">
        <is>
          <t>Borrowings</t>
        </is>
      </c>
      <c r="B10" s="8">
        <f>Comps!E16</f>
        <v/>
      </c>
    </row>
    <row r="11">
      <c r="A11" s="5" t="inlineStr">
        <is>
          <t>Lease liabilities</t>
        </is>
      </c>
      <c r="B11" s="8">
        <f>Comps!F16</f>
        <v/>
      </c>
    </row>
    <row r="12">
      <c r="A12" s="5" t="inlineStr">
        <is>
          <t>Minority interest</t>
        </is>
      </c>
      <c r="B12" s="8">
        <f>Comps!G16</f>
        <v/>
      </c>
    </row>
    <row r="13">
      <c r="A13" s="5" t="inlineStr">
        <is>
          <t>Diluted shares (crore)</t>
        </is>
      </c>
      <c r="B13" s="26" t="n">
        <v>415.205</v>
      </c>
      <c r="C13" s="3" t="inlineStr">
        <is>
          <t>Diluted weighted average shares, FY25 (as used in the DCF model)</t>
        </is>
      </c>
    </row>
    <row r="14">
      <c r="A14" s="5" t="inlineStr">
        <is>
          <t>Market price, 28-Mar-2025 (Rs)</t>
        </is>
      </c>
      <c r="B14" s="17">
        <f>Comps!B16</f>
        <v/>
      </c>
    </row>
    <row r="15">
      <c r="A15" s="5" t="inlineStr">
        <is>
          <t>DCF value per share (Rs)</t>
        </is>
      </c>
      <c r="B15" s="26" t="n">
        <v>1128</v>
      </c>
      <c r="C15" s="3" t="inlineStr">
        <is>
          <t>From the Infosys DCF model (base case)</t>
        </is>
      </c>
    </row>
    <row r="17">
      <c r="A17" t="inlineStr">
        <is>
          <t>Implied value per share from peer multiples (Rs)</t>
        </is>
      </c>
    </row>
    <row r="18" ht="30" customHeight="1">
      <c r="A18" s="6" t="inlineStr">
        <is>
          <t>Method</t>
        </is>
      </c>
      <c r="B18" s="7" t="inlineStr">
        <is>
          <t>Peer low</t>
        </is>
      </c>
      <c r="C18" s="7" t="inlineStr">
        <is>
          <t>Peer median</t>
        </is>
      </c>
      <c r="D18" s="7" t="inlineStr">
        <is>
          <t>Peer mean</t>
        </is>
      </c>
      <c r="E18" s="7" t="inlineStr">
        <is>
          <t>Peer high</t>
        </is>
      </c>
    </row>
    <row r="19">
      <c r="A19" t="inlineStr">
        <is>
          <t>Multiple: EV / EBITDA (x)</t>
        </is>
      </c>
      <c r="B19" s="9">
        <f>Comps!O14</f>
        <v/>
      </c>
      <c r="C19" s="9">
        <f>Comps!O12</f>
        <v/>
      </c>
      <c r="D19" s="9">
        <f>Comps!O11</f>
        <v/>
      </c>
      <c r="E19" s="9">
        <f>Comps!O13</f>
        <v/>
      </c>
    </row>
    <row r="20">
      <c r="A20" t="inlineStr">
        <is>
          <t>Implied enterprise value</t>
        </is>
      </c>
      <c r="B20" s="21">
        <f>B19*$B$7</f>
        <v/>
      </c>
      <c r="C20" s="21">
        <f>C19*$B$7</f>
        <v/>
      </c>
      <c r="D20" s="21">
        <f>D19*$B$7</f>
        <v/>
      </c>
      <c r="E20" s="21">
        <f>E19*$B$7</f>
        <v/>
      </c>
    </row>
    <row r="21">
      <c r="A21" t="inlineStr">
        <is>
          <t>Implied equity value</t>
        </is>
      </c>
      <c r="B21" s="21">
        <f>B20+$B$9-$B$10-$B$11-$B$12</f>
        <v/>
      </c>
      <c r="C21" s="21">
        <f>C20+$B$9-$B$10-$B$11-$B$12</f>
        <v/>
      </c>
      <c r="D21" s="21">
        <f>D20+$B$9-$B$10-$B$11-$B$12</f>
        <v/>
      </c>
      <c r="E21" s="21">
        <f>E20+$B$9-$B$10-$B$11-$B$12</f>
        <v/>
      </c>
    </row>
    <row r="22">
      <c r="A22" s="24" t="inlineStr">
        <is>
          <t>Implied value per share (Rs)</t>
        </is>
      </c>
      <c r="B22" s="27">
        <f>B21/$B$13</f>
        <v/>
      </c>
      <c r="C22" s="27">
        <f>C21/$B$13</f>
        <v/>
      </c>
      <c r="D22" s="27">
        <f>D21/$B$13</f>
        <v/>
      </c>
      <c r="E22" s="27">
        <f>E21/$B$13</f>
        <v/>
      </c>
    </row>
    <row r="24">
      <c r="A24" t="inlineStr">
        <is>
          <t>Multiple: P / E (x)</t>
        </is>
      </c>
      <c r="B24" s="9">
        <f>Comps!P14</f>
        <v/>
      </c>
      <c r="C24" s="9">
        <f>Comps!P12</f>
        <v/>
      </c>
      <c r="D24" s="9">
        <f>Comps!P11</f>
        <v/>
      </c>
      <c r="E24" s="9">
        <f>Comps!P13</f>
        <v/>
      </c>
    </row>
    <row r="25">
      <c r="A25" s="24" t="inlineStr">
        <is>
          <t>Implied value per share (Rs)</t>
        </is>
      </c>
      <c r="B25" s="27">
        <f>B24*$B$8</f>
        <v/>
      </c>
      <c r="C25" s="27">
        <f>C24*$B$8</f>
        <v/>
      </c>
      <c r="D25" s="27">
        <f>D24*$B$8</f>
        <v/>
      </c>
      <c r="E25" s="27">
        <f>E24*$B$8</f>
        <v/>
      </c>
    </row>
    <row r="27">
      <c r="A27" t="inlineStr">
        <is>
          <t>Multiple: EV / Sales (x)</t>
        </is>
      </c>
      <c r="B27" s="9">
        <f>Comps!N14</f>
        <v/>
      </c>
      <c r="C27" s="9">
        <f>Comps!N12</f>
        <v/>
      </c>
      <c r="D27" s="9">
        <f>Comps!N11</f>
        <v/>
      </c>
      <c r="E27" s="9">
        <f>Comps!N13</f>
        <v/>
      </c>
    </row>
    <row r="28">
      <c r="A28" s="24" t="inlineStr">
        <is>
          <t>Implied value per share (Rs)</t>
        </is>
      </c>
      <c r="B28" s="27">
        <f>((B27*$B$6)+$B$9-$B$10-$B$11-$B$12)/$B$13</f>
        <v/>
      </c>
      <c r="C28" s="27">
        <f>((C27*$B$6)+$B$9-$B$10-$B$11-$B$12)/$B$13</f>
        <v/>
      </c>
      <c r="D28" s="27">
        <f>((D27*$B$6)+$B$9-$B$10-$B$11-$B$12)/$B$13</f>
        <v/>
      </c>
      <c r="E28" s="27">
        <f>((E27*$B$6)+$B$9-$B$10-$B$11-$B$12)/$B$13</f>
        <v/>
      </c>
    </row>
    <row r="29">
      <c r="A29" s="3" t="inlineStr">
        <is>
          <t>EV / Sales is shown for completeness only; it ignores margin differences, so it is not used in the summary chart.</t>
        </is>
      </c>
    </row>
    <row r="31">
      <c r="A31" t="inlineStr">
        <is>
          <t>Valuation summary (football field), Rs per share</t>
        </is>
      </c>
    </row>
    <row r="32" ht="30" customHeight="1">
      <c r="A32" s="6" t="inlineStr">
        <is>
          <t>Method</t>
        </is>
      </c>
      <c r="B32" s="7" t="inlineStr">
        <is>
          <t>Low</t>
        </is>
      </c>
      <c r="C32" s="7" t="inlineStr">
        <is>
          <t>Median / base</t>
        </is>
      </c>
      <c r="D32" s="7" t="inlineStr">
        <is>
          <t>High</t>
        </is>
      </c>
      <c r="E32" s="7" t="inlineStr">
        <is>
          <t>Range (High - Low)</t>
        </is>
      </c>
    </row>
    <row r="33">
      <c r="A33" t="inlineStr">
        <is>
          <t>Peer EV / EBITDA (low - high)</t>
        </is>
      </c>
      <c r="B33" s="28">
        <f>B22</f>
        <v/>
      </c>
      <c r="C33" s="28">
        <f>C22</f>
        <v/>
      </c>
      <c r="D33" s="28">
        <f>E22</f>
        <v/>
      </c>
      <c r="E33" s="28">
        <f>D33-B33</f>
        <v/>
      </c>
    </row>
    <row r="34">
      <c r="A34" t="inlineStr">
        <is>
          <t>Peer P / E (low - high)</t>
        </is>
      </c>
      <c r="B34" s="28">
        <f>B25</f>
        <v/>
      </c>
      <c r="C34" s="28">
        <f>C25</f>
        <v/>
      </c>
      <c r="D34" s="28">
        <f>E25</f>
        <v/>
      </c>
      <c r="E34" s="28">
        <f>D34-B34</f>
        <v/>
      </c>
    </row>
    <row r="35">
      <c r="A35" t="inlineStr">
        <is>
          <t>DCF, sensitivity range (WACC +/-1%, growth +/-1%)</t>
        </is>
      </c>
      <c r="B35" s="26" t="n">
        <v>903</v>
      </c>
      <c r="C35" s="28">
        <f>B15</f>
        <v/>
      </c>
      <c r="D35" s="26" t="n">
        <v>1568</v>
      </c>
      <c r="E35" s="28">
        <f>D35-B35</f>
        <v/>
      </c>
    </row>
    <row r="36">
      <c r="A36" t="inlineStr">
        <is>
          <t>Market price, 28-Mar-2025 (Rs)</t>
        </is>
      </c>
      <c r="C36" s="18">
        <f>B14</f>
        <v/>
      </c>
    </row>
    <row r="37">
      <c r="A37" t="inlineStr">
        <is>
          <t>Average of peer-median values (EV/EBITDA and P/E), Rs</t>
        </is>
      </c>
      <c r="C37" s="18">
        <f>AVERAGE(C22,C25)</f>
        <v/>
      </c>
    </row>
    <row r="38">
      <c r="A38" t="inlineStr">
        <is>
          <t>Peer-median value vs market price</t>
        </is>
      </c>
      <c r="C38" s="19">
        <f>C37/C36-1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9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Source Data</t>
        </is>
      </c>
    </row>
    <row r="2">
      <c r="A2" s="2" t="inlineStr">
        <is>
          <t>Reported figures from consolidated financial statements, year ended 31 March 2025</t>
        </is>
      </c>
    </row>
    <row r="3">
      <c r="A3" s="3" t="inlineStr">
        <is>
          <t>Rs crore unless stated  |  Blue = reported data / input, Black = formula, Green = link from another sheet</t>
        </is>
      </c>
    </row>
    <row r="5" ht="30" customHeight="1">
      <c r="A5" s="6" t="inlineStr">
        <is>
          <t>Item</t>
        </is>
      </c>
      <c r="B5" s="7" t="inlineStr">
        <is>
          <t>Infosys</t>
        </is>
      </c>
      <c r="C5" s="7" t="inlineStr">
        <is>
          <t>TCS</t>
        </is>
      </c>
      <c r="D5" s="7" t="inlineStr">
        <is>
          <t>HCLTech</t>
        </is>
      </c>
      <c r="E5" s="7" t="inlineStr">
        <is>
          <t>Wipro</t>
        </is>
      </c>
      <c r="F5" s="7" t="inlineStr">
        <is>
          <t>Tech Mahindra</t>
        </is>
      </c>
      <c r="G5" s="7" t="inlineStr">
        <is>
          <t>Source / note</t>
        </is>
      </c>
    </row>
    <row r="6">
      <c r="A6" s="5" t="inlineStr">
        <is>
          <t>Unit of reported figures</t>
        </is>
      </c>
      <c r="B6" s="29" t="inlineStr">
        <is>
          <t>Rs crore</t>
        </is>
      </c>
      <c r="C6" s="29" t="inlineStr">
        <is>
          <t>Rs crore</t>
        </is>
      </c>
      <c r="D6" s="29" t="inlineStr">
        <is>
          <t>Rs crore</t>
        </is>
      </c>
      <c r="E6" s="29" t="inlineStr">
        <is>
          <t>Rs million</t>
        </is>
      </c>
      <c r="F6" s="29" t="inlineStr">
        <is>
          <t>Rs million</t>
        </is>
      </c>
      <c r="G6" s="30" t="inlineStr">
        <is>
          <t>Wipro and Tech Mahindra report in Rs million (1 crore = 10 million)</t>
        </is>
      </c>
    </row>
    <row r="7">
      <c r="A7" s="5" t="inlineStr">
        <is>
          <t>Divisor to convert to Rs crore</t>
        </is>
      </c>
      <c r="B7" s="31" t="n">
        <v>1</v>
      </c>
      <c r="C7" s="31" t="n">
        <v>1</v>
      </c>
      <c r="D7" s="31" t="n">
        <v>1</v>
      </c>
      <c r="E7" s="31" t="n">
        <v>10</v>
      </c>
      <c r="F7" s="31" t="n">
        <v>10</v>
      </c>
      <c r="G7" s="30" t="inlineStr">
        <is>
          <t>Used by the Comps sheet to convert every figure to Rs crore</t>
        </is>
      </c>
    </row>
    <row r="8" ht="28" customHeight="1">
      <c r="A8" s="2" t="inlineStr">
        <is>
          <t>Share price, NSE close 28-Mar-2025 (Rs)</t>
        </is>
      </c>
      <c r="B8" s="26" t="n">
        <v>1570.65</v>
      </c>
      <c r="C8" s="26" t="n">
        <v>3606.15</v>
      </c>
      <c r="D8" s="26" t="n">
        <v>1592.5</v>
      </c>
      <c r="E8" s="26" t="n">
        <v>262.25</v>
      </c>
      <c r="F8" s="26" t="n">
        <v>1418.25</v>
      </c>
      <c r="G8" s="30" t="inlineStr">
        <is>
          <t>Yahoo Finance daily NSE close, 28-Mar-2025 (last trading day of FY25). Cross-checks: Wipro report NSE price Rs262.3; TCS report P/E 26.9x x EPS Rs134.19 = Rs3,610</t>
        </is>
      </c>
    </row>
    <row r="9">
      <c r="A9" s="5" t="inlineStr">
        <is>
          <t>Share capital</t>
        </is>
      </c>
      <c r="B9" s="32" t="n">
        <v>2073</v>
      </c>
      <c r="C9" s="32" t="n">
        <v>362</v>
      </c>
      <c r="D9" s="32" t="n">
        <v>543</v>
      </c>
      <c r="E9" s="32" t="n">
        <v>20944</v>
      </c>
      <c r="F9" s="32" t="n">
        <v>4424</v>
      </c>
      <c r="G9" s="30" t="inlineStr">
        <is>
          <t>Balance sheet, equity share capital (reported units)</t>
        </is>
      </c>
    </row>
    <row r="10">
      <c r="A10" s="5" t="inlineStr">
        <is>
          <t>Face value per share (Rs)</t>
        </is>
      </c>
      <c r="B10" s="31" t="n">
        <v>5</v>
      </c>
      <c r="C10" s="31" t="n">
        <v>1</v>
      </c>
      <c r="D10" s="31" t="n">
        <v>2</v>
      </c>
      <c r="E10" s="31" t="n">
        <v>2</v>
      </c>
      <c r="F10" s="31" t="n">
        <v>5</v>
      </c>
      <c r="G10" s="30" t="inlineStr">
        <is>
          <t>Annual reports</t>
        </is>
      </c>
    </row>
    <row r="11">
      <c r="A11" s="2" t="inlineStr">
        <is>
          <t>Revenue from operations, FY25</t>
        </is>
      </c>
      <c r="B11" s="32" t="n">
        <v>162990</v>
      </c>
      <c r="C11" s="32" t="n">
        <v>255324</v>
      </c>
      <c r="D11" s="32" t="n">
        <v>117055</v>
      </c>
      <c r="E11" s="32" t="n">
        <v>890884</v>
      </c>
      <c r="F11" s="32" t="n">
        <v>529883</v>
      </c>
      <c r="G11" s="30" t="inlineStr">
        <is>
          <t>Consolidated statement of profit and loss</t>
        </is>
      </c>
    </row>
    <row r="12">
      <c r="A12" s="5" t="inlineStr">
        <is>
          <t>Revenue from operations, FY24</t>
        </is>
      </c>
      <c r="B12" s="32" t="n">
        <v>153670</v>
      </c>
      <c r="C12" s="32" t="n">
        <v>240893</v>
      </c>
      <c r="D12" s="32" t="n">
        <v>109913</v>
      </c>
      <c r="E12" s="32" t="n">
        <v>897603</v>
      </c>
      <c r="F12" s="32" t="n">
        <v>519955</v>
      </c>
      <c r="G12" s="30" t="inlineStr">
        <is>
          <t>Prior-year comparative (HCLTech FY24 from five-year trend table)</t>
        </is>
      </c>
    </row>
    <row r="13" ht="52" customHeight="1">
      <c r="A13" s="2" t="inlineStr">
        <is>
          <t>Operating costs excl. D&amp;A, finance cost, other income and exceptionals, FY25</t>
        </is>
      </c>
      <c r="B13" s="32" t="n">
        <v>123754</v>
      </c>
      <c r="C13" s="32" t="n">
        <v>187917</v>
      </c>
      <c r="D13" s="32" t="n">
        <v>91551</v>
      </c>
      <c r="E13" s="32" t="n">
        <v>710672</v>
      </c>
      <c r="F13" s="32" t="n">
        <v>459972</v>
      </c>
      <c r="G13" s="30" t="inlineStr">
        <is>
          <t>Infosys: total opex excl. D&amp;A. TCS: employee 145,788 + equipment/software 11,648 + other 30,481. HCLTech: stock-in-trade 1,976 + inventory change 52 + employee 66,755 + outsourcing 15,162 + other 7,606. Wipro: all expense lines except finance cost and D&amp;A (710,672). Tech Mahindra: employee 296,238 + subcontracting 58,377 + other 105,357</t>
        </is>
      </c>
    </row>
    <row r="14">
      <c r="A14" s="5" t="inlineStr">
        <is>
          <t>Depreciation and amortisation, FY25</t>
        </is>
      </c>
      <c r="B14" s="32" t="n">
        <v>4812</v>
      </c>
      <c r="C14" s="32" t="n">
        <v>5242</v>
      </c>
      <c r="D14" s="32" t="n">
        <v>4084</v>
      </c>
      <c r="E14" s="32" t="n">
        <v>29579</v>
      </c>
      <c r="F14" s="32" t="n">
        <v>18529</v>
      </c>
      <c r="G14" s="30" t="inlineStr">
        <is>
          <t>Wipro figure includes impairment</t>
        </is>
      </c>
    </row>
    <row r="15">
      <c r="A15" s="5" t="inlineStr">
        <is>
          <t>Other income, FY25</t>
        </is>
      </c>
      <c r="B15" s="32" t="n">
        <v>3600</v>
      </c>
      <c r="C15" s="32" t="n">
        <v>3962</v>
      </c>
      <c r="D15" s="32" t="n">
        <v>2485</v>
      </c>
      <c r="E15" s="32" t="n">
        <v>38840</v>
      </c>
      <c r="F15" s="32" t="n">
        <v>8554</v>
      </c>
      <c r="G15" s="30" t="inlineStr">
        <is>
          <t>Excluded from EBITDA for all companies</t>
        </is>
      </c>
    </row>
    <row r="16">
      <c r="A16" s="5" t="inlineStr">
        <is>
          <t>Finance cost, FY25</t>
        </is>
      </c>
      <c r="B16" s="32" t="n">
        <v>416</v>
      </c>
      <c r="C16" s="32" t="n">
        <v>796</v>
      </c>
      <c r="D16" s="32" t="n">
        <v>644</v>
      </c>
      <c r="E16" s="32" t="n">
        <v>14770</v>
      </c>
      <c r="F16" s="32" t="n">
        <v>3217</v>
      </c>
      <c r="G16" s="30" t="inlineStr">
        <is>
          <t>Includes lease interest</t>
        </is>
      </c>
    </row>
    <row r="17">
      <c r="A17" s="5" t="inlineStr">
        <is>
          <t>Profit for the year, FY25</t>
        </is>
      </c>
      <c r="B17" s="32" t="n">
        <v>26750</v>
      </c>
      <c r="C17" s="32" t="n">
        <v>48797</v>
      </c>
      <c r="D17" s="32" t="n">
        <v>17399</v>
      </c>
      <c r="E17" s="32" t="n">
        <v>132180</v>
      </c>
      <c r="F17" s="32" t="n">
        <v>42530</v>
      </c>
      <c r="G17" s="30" t="inlineStr">
        <is>
          <t>Consolidated, before minority interests</t>
        </is>
      </c>
    </row>
    <row r="18">
      <c r="A18" s="5" t="inlineStr">
        <is>
          <t>Profit for the year, FY24</t>
        </is>
      </c>
      <c r="B18" s="32" t="n">
        <v>26248</v>
      </c>
      <c r="C18" s="32" t="n">
        <v>46099</v>
      </c>
      <c r="D18" s="32" t="n">
        <v>15710</v>
      </c>
      <c r="E18" s="32" t="n">
        <v>111121</v>
      </c>
      <c r="F18" s="32" t="n">
        <v>23968</v>
      </c>
      <c r="G18" s="30" t="inlineStr">
        <is>
          <t>HCLTech FY24 from five-year trend table. Tech Mahindra FY24 depressed by Rs458 crore goodwill impairment</t>
        </is>
      </c>
    </row>
    <row r="19">
      <c r="A19" s="5" t="inlineStr">
        <is>
          <t>Profit attributable to owners, FY25</t>
        </is>
      </c>
      <c r="B19" s="32" t="n">
        <v>26713</v>
      </c>
      <c r="C19" s="32" t="n">
        <v>48553</v>
      </c>
      <c r="D19" s="32" t="n">
        <v>17390</v>
      </c>
      <c r="E19" s="32" t="n">
        <v>131354</v>
      </c>
      <c r="F19" s="32" t="n">
        <v>42515</v>
      </c>
      <c r="G19" s="30" t="inlineStr">
        <is>
          <t>Used for P/E and ROE</t>
        </is>
      </c>
    </row>
    <row r="20">
      <c r="A20" s="5" t="inlineStr">
        <is>
          <t>Basic earnings per share, FY25 (Rs)</t>
        </is>
      </c>
      <c r="B20" s="26" t="n">
        <v>64.5</v>
      </c>
      <c r="C20" s="26" t="n">
        <v>134.19</v>
      </c>
      <c r="D20" s="26" t="n">
        <v>64.16</v>
      </c>
      <c r="E20" s="26" t="n">
        <v>12.56</v>
      </c>
      <c r="F20" s="26" t="n">
        <v>48</v>
      </c>
      <c r="G20" s="30" t="inlineStr">
        <is>
          <t>As reported (Wipro EPS adjusted for the 2024 bonus issue)</t>
        </is>
      </c>
    </row>
    <row r="21">
      <c r="A21" s="5" t="inlineStr">
        <is>
          <t>Cash and cash equivalents</t>
        </is>
      </c>
      <c r="B21" s="32" t="n">
        <v>24455</v>
      </c>
      <c r="C21" s="32" t="n">
        <v>8342</v>
      </c>
      <c r="D21" s="32" t="n">
        <v>8245</v>
      </c>
      <c r="E21" s="32" t="n">
        <v>121974</v>
      </c>
      <c r="F21" s="32" t="n">
        <v>43185</v>
      </c>
      <c r="G21" s="30" t="inlineStr">
        <is>
          <t>Balance sheet at 31-Mar-2025</t>
        </is>
      </c>
    </row>
    <row r="22">
      <c r="A22" s="5" t="inlineStr">
        <is>
          <t>Other bank balances / deposits</t>
        </is>
      </c>
      <c r="B22" s="32" t="n">
        <v>0</v>
      </c>
      <c r="C22" s="32" t="n">
        <v>7121</v>
      </c>
      <c r="D22" s="32" t="n">
        <v>13044</v>
      </c>
      <c r="E22" s="32" t="n">
        <v>0</v>
      </c>
      <c r="F22" s="32" t="n">
        <v>2237</v>
      </c>
      <c r="G22" s="30" t="inlineStr">
        <is>
          <t>Infosys and Wipro include these within investments / cash lines</t>
        </is>
      </c>
    </row>
    <row r="23">
      <c r="A23" s="5" t="inlineStr">
        <is>
          <t>Current investments</t>
        </is>
      </c>
      <c r="B23" s="32" t="n">
        <v>12482</v>
      </c>
      <c r="C23" s="32" t="n">
        <v>30689</v>
      </c>
      <c r="D23" s="32" t="n">
        <v>7473</v>
      </c>
      <c r="E23" s="32" t="n">
        <v>411474</v>
      </c>
      <c r="F23" s="32" t="n">
        <v>28928</v>
      </c>
      <c r="G23" s="30" t="inlineStr">
        <is>
          <t>Balance sheet</t>
        </is>
      </c>
    </row>
    <row r="24">
      <c r="A24" s="5" t="inlineStr">
        <is>
          <t>Non-current investments</t>
        </is>
      </c>
      <c r="B24" s="32" t="n">
        <v>11059</v>
      </c>
      <c r="C24" s="32" t="n">
        <v>275</v>
      </c>
      <c r="D24" s="32" t="n">
        <v>91</v>
      </c>
      <c r="E24" s="32" t="n">
        <v>26458</v>
      </c>
      <c r="F24" s="32" t="n">
        <v>2354</v>
      </c>
      <c r="G24" s="30" t="inlineStr">
        <is>
          <t>Excludes equity-accounted investments</t>
        </is>
      </c>
    </row>
    <row r="25">
      <c r="A25" s="5" t="inlineStr">
        <is>
          <t>Borrowings (current + non-current)</t>
        </is>
      </c>
      <c r="B25" s="32" t="n">
        <v>0</v>
      </c>
      <c r="C25" s="32" t="n">
        <v>0</v>
      </c>
      <c r="D25" s="32" t="n">
        <v>2291</v>
      </c>
      <c r="E25" s="32" t="n">
        <v>161817</v>
      </c>
      <c r="F25" s="32" t="n">
        <v>4714</v>
      </c>
      <c r="G25" s="30" t="inlineStr">
        <is>
          <t>Infosys and TCS have no borrowings</t>
        </is>
      </c>
    </row>
    <row r="26">
      <c r="A26" s="5" t="inlineStr">
        <is>
          <t>Lease liabilities (current + non-current)</t>
        </is>
      </c>
      <c r="B26" s="32" t="n">
        <v>8227</v>
      </c>
      <c r="C26" s="32" t="n">
        <v>9392</v>
      </c>
      <c r="D26" s="32" t="n">
        <v>3985</v>
      </c>
      <c r="E26" s="32" t="n">
        <v>30218</v>
      </c>
      <c r="F26" s="32" t="n">
        <v>15538</v>
      </c>
      <c r="G26" s="30" t="inlineStr">
        <is>
          <t>Ind AS 116</t>
        </is>
      </c>
    </row>
    <row r="27">
      <c r="A27" s="5" t="inlineStr">
        <is>
          <t>Non-controlling interests</t>
        </is>
      </c>
      <c r="B27" s="32" t="n">
        <v>385</v>
      </c>
      <c r="C27" s="32" t="n">
        <v>1015</v>
      </c>
      <c r="D27" s="32" t="n">
        <v>18</v>
      </c>
      <c r="E27" s="32" t="n">
        <v>2138</v>
      </c>
      <c r="F27" s="32" t="n">
        <v>4302</v>
      </c>
      <c r="G27" s="30" t="inlineStr">
        <is>
          <t>Book value</t>
        </is>
      </c>
    </row>
    <row r="28">
      <c r="A28" s="5" t="inlineStr">
        <is>
          <t>Equity attributable to owners</t>
        </is>
      </c>
      <c r="B28" s="32" t="n">
        <v>95818</v>
      </c>
      <c r="C28" s="32" t="n">
        <v>94756</v>
      </c>
      <c r="D28" s="32" t="n">
        <v>69655</v>
      </c>
      <c r="E28" s="32" t="n">
        <v>823641</v>
      </c>
      <c r="F28" s="32" t="n">
        <v>273615</v>
      </c>
      <c r="G28" s="30" t="inlineStr">
        <is>
          <t>Balance sheet</t>
        </is>
      </c>
    </row>
    <row r="29">
      <c r="A29" s="5" t="inlineStr">
        <is>
          <t>Net cash from operating activities, FY25</t>
        </is>
      </c>
      <c r="B29" s="32" t="n">
        <v>35694</v>
      </c>
      <c r="C29" s="32" t="n">
        <v>48908</v>
      </c>
      <c r="D29" s="32" t="n">
        <v>22261</v>
      </c>
      <c r="E29" s="32" t="n">
        <v>169426</v>
      </c>
      <c r="F29" s="32" t="n">
        <v>57857</v>
      </c>
      <c r="G29" s="30" t="inlineStr">
        <is>
          <t>Cash flow statement</t>
        </is>
      </c>
    </row>
    <row r="30">
      <c r="A30" s="5" t="inlineStr">
        <is>
          <t>Capital expenditure, FY25</t>
        </is>
      </c>
      <c r="B30" s="32" t="n">
        <v>2237</v>
      </c>
      <c r="C30" s="32" t="n">
        <v>3861</v>
      </c>
      <c r="D30" s="32" t="n">
        <v>1108</v>
      </c>
      <c r="E30" s="32" t="n">
        <v>14737</v>
      </c>
      <c r="F30" s="32" t="n">
        <v>5935</v>
      </c>
      <c r="G30" s="30" t="inlineStr">
        <is>
          <t>PPE and intangibles. Wipro: PPE only (intangible purchases not separately material)</t>
        </is>
      </c>
    </row>
    <row r="32">
      <c r="A32" s="2" t="inlineStr">
        <is>
          <t>Data notes</t>
        </is>
      </c>
    </row>
    <row r="33">
      <c r="A33" s="3" t="inlineStr">
        <is>
          <t>HCLTech: the uploaded file is the annual report for the year ended 31 March 2026; all figures here are its 31-Mar-2025 / FY2025 comparatives (as presented in that report).</t>
        </is>
      </c>
    </row>
    <row r="34">
      <c r="A34" s="3" t="inlineStr">
        <is>
          <t>TCS, Wipro, Tech Mahindra: annual reports for the year ended 31 March 2025. Infosys: annual report 2024-25.</t>
        </is>
      </c>
    </row>
    <row r="35">
      <c r="A35" s="3" t="inlineStr">
        <is>
          <t>All companies prepare consolidated Ind AS statements with lease expense recognised as depreciation and interest, so EBITDA is comparable across the five.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3" t="inlineStr">
        <is>
          <t>Infosys Limited - Comparable Company Analysis: Method and Notes</t>
        </is>
      </c>
    </row>
    <row r="2">
      <c r="A2" s="20" t="inlineStr"/>
    </row>
    <row r="3">
      <c r="A3" s="34" t="inlineStr">
        <is>
          <t>Purpose</t>
        </is>
      </c>
    </row>
    <row r="4">
      <c r="A4" s="20" t="inlineStr">
        <is>
          <t>Value Infosys relative to listed Indian IT services peers using trading multiples, as a cross-check to the DCF valuation (base date 31 March 2025).</t>
        </is>
      </c>
    </row>
    <row r="5">
      <c r="A5" s="20" t="inlineStr"/>
    </row>
    <row r="6">
      <c r="A6" s="34" t="inlineStr">
        <is>
          <t>Peer set</t>
        </is>
      </c>
    </row>
    <row r="7">
      <c r="A7" s="20" t="inlineStr">
        <is>
          <t>TCS, HCLTech, Wipro and Tech Mahindra: large Indian IT services companies with consolidated Ind AS reporting and a March year-end. LTIMindtree was excluded by choice.</t>
        </is>
      </c>
    </row>
    <row r="8">
      <c r="A8" s="20" t="inlineStr"/>
    </row>
    <row r="9">
      <c r="A9" s="34" t="inlineStr">
        <is>
          <t>Method</t>
        </is>
      </c>
    </row>
    <row r="10">
      <c r="A10" s="20" t="inlineStr">
        <is>
          <t>1. Market capitalisation = NSE closing price on 28 March 2025 (last trading day of FY25) x shares (share capital / face value).</t>
        </is>
      </c>
    </row>
    <row r="11">
      <c r="A11" s="20" t="inlineStr">
        <is>
          <t>2. Enterprise value = market cap + borrowings + lease liabilities + minority interest - cash, bank balances and investments.</t>
        </is>
      </c>
    </row>
    <row r="12">
      <c r="A12" s="20" t="inlineStr">
        <is>
          <t>3. EBITDA = revenue - operating costs (excluding depreciation, finance cost, other income and exceptional items). Other income is excluded because it is earned on the cash that is deducted in EV.</t>
        </is>
      </c>
    </row>
    <row r="13">
      <c r="A13" s="20" t="inlineStr">
        <is>
          <t>4. Multiples: EV/Sales, EV/EBITDA and P/E (price / basic EPS), all on FY2025 results. Peer mean, median, high and low exclude Infosys.</t>
        </is>
      </c>
    </row>
    <row r="14">
      <c r="A14" s="20" t="inlineStr">
        <is>
          <t>5. Implied Infosys value: peer multiple x Infosys EBITDA (then bridge to equity value and divide by diluted shares), or peer P/E x Infosys EPS.</t>
        </is>
      </c>
    </row>
    <row r="15">
      <c r="A15" s="20" t="inlineStr"/>
    </row>
    <row r="16">
      <c r="A16" s="34" t="inlineStr">
        <is>
          <t>Data sources</t>
        </is>
      </c>
    </row>
    <row r="17">
      <c r="A17" s="20" t="inlineStr">
        <is>
          <t>Consolidated financial statements in the FY2024-25 annual reports of Infosys, TCS, Wipro and Tech Mahindra, and the HCLTech annual report for the year ended 31 March 2026 (31-Mar-2025 comparatives).</t>
        </is>
      </c>
    </row>
    <row r="18">
      <c r="A18" s="20" t="inlineStr">
        <is>
          <t>Share prices: Yahoo Finance daily NSE closing prices for 28 March 2025. Cross-checked to Wipro report (NSE price Rs262.3) and TCS report (P/E 26.9x).</t>
        </is>
      </c>
    </row>
    <row r="19">
      <c r="A19" s="20" t="inlineStr"/>
    </row>
    <row r="20">
      <c r="A20" s="34" t="inlineStr">
        <is>
          <t>Limitations</t>
        </is>
      </c>
    </row>
    <row r="21">
      <c r="A21" s="20" t="inlineStr">
        <is>
          <t>Trailing (FY25) multiples only; no consensus forward estimates. Share counts are share capital / face value and ignore treasury shares. Tech Mahindra FY25 earnings were still recovering, which inflates its P/E. Infosys price here is the NSE close (Rs1,570.65) while the DCF used a price derived from reported market capitalisation (Rs1,573.4); the difference is 0.2%. A four-company peer set is small, so the median is sensitive to any one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Nitika Prasun</dc:creator>
  <dcterms:created xsi:type="dcterms:W3CDTF">2026-10-14T17:46:30Z</dcterms:created>
  <dcterms:modified xsi:type="dcterms:W3CDTF">2026-10-14T17:46:30Z</dcterms:modified>
  <dc:title>Infosys Limited - Comparable Company Analysis</dc:title>
</cp:coreProperties>
</file>